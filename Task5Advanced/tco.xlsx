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amozer/Documents/VisualStudioProjects/ya-practicum/architecture-future_2_0/Task5Advanced/"/>
    </mc:Choice>
  </mc:AlternateContent>
  <xr:revisionPtr revIDLastSave="0" documentId="13_ncr:1_{8AA03E78-6A86-3542-B4A1-66C64932D1EF}" xr6:coauthVersionLast="45" xr6:coauthVersionMax="45" xr10:uidLastSave="{00000000-0000-0000-0000-000000000000}"/>
  <bookViews>
    <workbookView xWindow="280" yWindow="500" windowWidth="28240" windowHeight="16100" activeTab="2" xr2:uid="{FD056FC1-A422-EC4B-AF6E-61F108E252DF}"/>
  </bookViews>
  <sheets>
    <sheet name="AS IS" sheetId="1" r:id="rId1"/>
    <sheet name="TOBE" sheetId="2" r:id="rId2"/>
    <sheet name="Сравненеи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2" i="3"/>
  <c r="D3" i="3"/>
  <c r="D4" i="3"/>
  <c r="D5" i="3"/>
  <c r="D2" i="3"/>
  <c r="C5" i="3"/>
  <c r="C4" i="3"/>
  <c r="C3" i="3"/>
  <c r="C2" i="3"/>
  <c r="B5" i="3"/>
  <c r="B4" i="3"/>
  <c r="B3" i="3"/>
  <c r="B2" i="3"/>
  <c r="C29" i="2"/>
  <c r="D29" i="2"/>
  <c r="E29" i="2"/>
  <c r="B29" i="2"/>
  <c r="C28" i="2"/>
  <c r="D28" i="2"/>
  <c r="B28" i="2"/>
  <c r="E28" i="2" s="1"/>
  <c r="E25" i="2"/>
  <c r="E26" i="2"/>
  <c r="E27" i="2"/>
  <c r="E24" i="2"/>
  <c r="C22" i="2"/>
  <c r="D22" i="2"/>
  <c r="B22" i="2"/>
  <c r="E22" i="2" s="1"/>
  <c r="E21" i="2"/>
  <c r="E20" i="2"/>
  <c r="C18" i="2"/>
  <c r="D18" i="2"/>
  <c r="B18" i="2"/>
  <c r="E18" i="2" s="1"/>
  <c r="E15" i="2"/>
  <c r="E16" i="2"/>
  <c r="E17" i="2"/>
  <c r="E14" i="2"/>
  <c r="C12" i="2"/>
  <c r="D12" i="2"/>
  <c r="B12" i="2"/>
  <c r="E8" i="2"/>
  <c r="E9" i="2"/>
  <c r="E10" i="2"/>
  <c r="E11" i="2"/>
  <c r="E7" i="2"/>
  <c r="C5" i="2"/>
  <c r="D5" i="2"/>
  <c r="B5" i="2"/>
  <c r="E4" i="2"/>
  <c r="E5" i="2"/>
  <c r="E3" i="2"/>
  <c r="E21" i="1"/>
  <c r="C21" i="1"/>
  <c r="D21" i="1"/>
  <c r="B21" i="1"/>
  <c r="E19" i="1"/>
  <c r="E20" i="1"/>
  <c r="E18" i="1"/>
  <c r="C20" i="1"/>
  <c r="D20" i="1"/>
  <c r="B20" i="1"/>
  <c r="C16" i="1"/>
  <c r="D16" i="1"/>
  <c r="B16" i="1"/>
  <c r="E16" i="1" s="1"/>
  <c r="C10" i="1"/>
  <c r="D10" i="1"/>
  <c r="B10" i="1"/>
  <c r="E10" i="1" s="1"/>
  <c r="C5" i="1"/>
  <c r="D5" i="1"/>
  <c r="B5" i="1"/>
  <c r="E15" i="1"/>
  <c r="E14" i="1"/>
  <c r="E13" i="1"/>
  <c r="E12" i="1"/>
  <c r="E9" i="1"/>
  <c r="E8" i="1"/>
  <c r="E7" i="1"/>
  <c r="E5" i="1"/>
  <c r="E4" i="1"/>
  <c r="E3" i="1"/>
  <c r="E12" i="2" l="1"/>
</calcChain>
</file>

<file path=xl/sharedStrings.xml><?xml version="1.0" encoding="utf-8"?>
<sst xmlns="http://schemas.openxmlformats.org/spreadsheetml/2006/main" count="67" uniqueCount="54">
  <si>
    <t>Статья затрат</t>
  </si>
  <si>
    <t>Год 1</t>
  </si>
  <si>
    <t>Год 2</t>
  </si>
  <si>
    <t>Год 3</t>
  </si>
  <si>
    <t>Итого</t>
  </si>
  <si>
    <t>Инфраструктура</t>
  </si>
  <si>
    <t>Серверы и СХД (амортизация + энергия)</t>
  </si>
  <si>
    <t>Сетевое оборудование, ЦОД</t>
  </si>
  <si>
    <t>Итого инфраструктура</t>
  </si>
  <si>
    <t>Лицензии и ПО</t>
  </si>
  <si>
    <t>SQL Server Enterprise (Extended Support)</t>
  </si>
  <si>
    <t>Power BI Premium</t>
  </si>
  <si>
    <t>Windows Server CAL</t>
  </si>
  <si>
    <t>Итого лицензии</t>
  </si>
  <si>
    <t>Персонал (администрирование, разработка, сопровождение)</t>
  </si>
  <si>
    <t>Администраторы БД (3 чел. × 2.5 млн/год)</t>
  </si>
  <si>
    <t>Разработчики ETL/Camel (5 чел. × 2.5 млн/год)</t>
  </si>
  <si>
    <t>Сопровождение PowerBuilder (2 чел. × 2.5 млн/год)</t>
  </si>
  <si>
    <t>Поддержка BI (2 чел. × 2.5 млн/год)</t>
  </si>
  <si>
    <t>Итого персонал</t>
  </si>
  <si>
    <t>Непроизводительные затраты аналитиков</t>
  </si>
  <si>
    <t>Время ожидания отчётов (среднее 4 часа × 50 аналитиков × 200 дней)</t>
  </si>
  <si>
    <t>Ручная выгрузка и консолидация данных</t>
  </si>
  <si>
    <t>Итого аналитика</t>
  </si>
  <si>
    <t>ИТОГО TCO As-Is</t>
  </si>
  <si>
    <t>Инфраструктура (облако + on-prem для Medical при необходимости)</t>
  </si>
  <si>
    <t>Облачные ресурсы (Compute, Storage, Network)</t>
  </si>
  <si>
    <t>Резервное копирование, геораспределение</t>
  </si>
  <si>
    <t>Лицензии и ПО (open source + подписки)</t>
  </si>
  <si>
    <t>Confluent Platform / Kafka (поддержка)</t>
  </si>
  <si>
    <t>MinIO (Enterprise поддержка)</t>
  </si>
  <si>
    <t>Dremio (Self-service)</t>
  </si>
  <si>
    <t>DataHub (Open Source)</t>
  </si>
  <si>
    <t>Персонал (новые роли)</t>
  </si>
  <si>
    <t>Data Platform Engineers (Kafka, Airflow, Spark) — 4 чел.</t>
  </si>
  <si>
    <t>DataOps / SRE (2 чел.)</t>
  </si>
  <si>
    <t>BI / Self-service поддержка (2 чел.)</t>
  </si>
  <si>
    <t>Data Stewards / Владельцы доменов (2 чел.)</t>
  </si>
  <si>
    <t>Затраты аналитиков (производительное время)</t>
  </si>
  <si>
    <t>Время ожидания отчётов (среднее 0.5 часа × 50 аналитиков × 200 дней)</t>
  </si>
  <si>
    <t>Самостоятельное конструирование отчётов</t>
  </si>
  <si>
    <t>Инвестиции в трансформацию (первые 2 года)</t>
  </si>
  <si>
    <t>Миграция данных из DWH в Lakehouse</t>
  </si>
  <si>
    <t>Обучение персонала</t>
  </si>
  <si>
    <t>Разработка пайплайнов и коннекторов</t>
  </si>
  <si>
    <t>Пилотные проекты (2 домена)</t>
  </si>
  <si>
    <t>Итого инвестиции</t>
  </si>
  <si>
    <t>ИТОГО TCO To-Be</t>
  </si>
  <si>
    <t>Период</t>
  </si>
  <si>
    <t>As-Is</t>
  </si>
  <si>
    <t>To-Be (с инвестициями)</t>
  </si>
  <si>
    <t>Экономия</t>
  </si>
  <si>
    <t>% экономии</t>
  </si>
  <si>
    <t>Итого 3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</si>
</sst>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15"/>
      <color rgb="FF0F1115"/>
      <name val="Roboto"/>
    </font>
    <font>
      <sz val="15"/>
      <color rgb="FF0F1115"/>
      <name val="Roboto"/>
    </font>
    <font>
      <sz val="15"/>
      <color rgb="FF0F1115"/>
      <name val="Roboto"/>
    </font>
    <font>
      <i/>
      <sz val="15"/>
      <color rgb="FF0F1115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  <xf numFmtId="2" fontId="2" fillId="0" borderId="0" xfId="0" applyNumberFormat="1" applyFont="1"/>
    <xf numFmtId="2" fontId="3" fillId="0" borderId="0" xfId="0" applyNumberFormat="1" applyFont="1"/>
    <xf numFmtId="9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79B88-8A48-F349-B62A-72EEBDD38119}">
  <dimension ref="A1:E21"/>
  <sheetViews>
    <sheetView workbookViewId="0">
      <selection activeCell="F21" sqref="F21"/>
    </sheetView>
  </sheetViews>
  <sheetFormatPr baseColWidth="10" defaultRowHeight="16" x14ac:dyDescent="0.2"/>
  <cols>
    <col min="1" max="1" width="101" customWidth="1"/>
    <col min="2" max="2" width="22.1640625" customWidth="1"/>
    <col min="4" max="4" width="20" customWidth="1"/>
  </cols>
  <sheetData>
    <row r="1" spans="1:5" ht="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" x14ac:dyDescent="0.25">
      <c r="A2" s="2" t="s">
        <v>5</v>
      </c>
      <c r="B2" s="3"/>
      <c r="C2" s="3"/>
      <c r="D2" s="3"/>
      <c r="E2" s="3"/>
    </row>
    <row r="3" spans="1:5" ht="20" x14ac:dyDescent="0.25">
      <c r="A3" s="3" t="s">
        <v>6</v>
      </c>
      <c r="B3" s="3">
        <v>45</v>
      </c>
      <c r="C3" s="3">
        <v>48</v>
      </c>
      <c r="D3" s="3">
        <v>52</v>
      </c>
      <c r="E3" s="3">
        <f>SUM(B3:D3)</f>
        <v>145</v>
      </c>
    </row>
    <row r="4" spans="1:5" ht="20" x14ac:dyDescent="0.25">
      <c r="A4" s="3" t="s">
        <v>7</v>
      </c>
      <c r="B4" s="3">
        <v>12</v>
      </c>
      <c r="C4" s="3">
        <v>13</v>
      </c>
      <c r="D4" s="3">
        <v>14</v>
      </c>
      <c r="E4" s="3">
        <f>SUM(B4:D4)</f>
        <v>39</v>
      </c>
    </row>
    <row r="5" spans="1:5" ht="20" x14ac:dyDescent="0.25">
      <c r="A5" s="4" t="s">
        <v>8</v>
      </c>
      <c r="B5" s="3">
        <f>SUM(B3:B4)</f>
        <v>57</v>
      </c>
      <c r="C5" s="3">
        <f t="shared" ref="C5:D5" si="0">SUM(C3:C4)</f>
        <v>61</v>
      </c>
      <c r="D5" s="3">
        <f t="shared" si="0"/>
        <v>66</v>
      </c>
      <c r="E5" s="3">
        <f>SUM(B5:D5)</f>
        <v>184</v>
      </c>
    </row>
    <row r="6" spans="1:5" ht="20" x14ac:dyDescent="0.25">
      <c r="A6" s="2" t="s">
        <v>9</v>
      </c>
      <c r="B6" s="3"/>
      <c r="C6" s="3"/>
      <c r="D6" s="3"/>
      <c r="E6" s="3"/>
    </row>
    <row r="7" spans="1:5" ht="20" x14ac:dyDescent="0.25">
      <c r="A7" s="3" t="s">
        <v>10</v>
      </c>
      <c r="B7" s="3">
        <v>28</v>
      </c>
      <c r="C7" s="3">
        <v>30</v>
      </c>
      <c r="D7" s="3">
        <v>32</v>
      </c>
      <c r="E7" s="3">
        <f>SUM(B7:D7)</f>
        <v>90</v>
      </c>
    </row>
    <row r="8" spans="1:5" ht="20" x14ac:dyDescent="0.25">
      <c r="A8" s="3" t="s">
        <v>11</v>
      </c>
      <c r="B8" s="3">
        <v>9</v>
      </c>
      <c r="C8" s="3">
        <v>10</v>
      </c>
      <c r="D8" s="3">
        <v>11</v>
      </c>
      <c r="E8" s="3">
        <f>SUM(B8:D8)</f>
        <v>30</v>
      </c>
    </row>
    <row r="9" spans="1:5" ht="20" x14ac:dyDescent="0.25">
      <c r="A9" s="3" t="s">
        <v>12</v>
      </c>
      <c r="B9" s="3">
        <v>4</v>
      </c>
      <c r="C9" s="3">
        <v>4</v>
      </c>
      <c r="D9" s="3">
        <v>5</v>
      </c>
      <c r="E9" s="3">
        <f>SUM(B9:D9)</f>
        <v>13</v>
      </c>
    </row>
    <row r="10" spans="1:5" ht="20" x14ac:dyDescent="0.25">
      <c r="A10" s="4" t="s">
        <v>13</v>
      </c>
      <c r="B10" s="3">
        <f>SUM(B7:B9)</f>
        <v>41</v>
      </c>
      <c r="C10" s="3">
        <f t="shared" ref="C10:D10" si="1">SUM(C7:C9)</f>
        <v>44</v>
      </c>
      <c r="D10" s="3">
        <f t="shared" si="1"/>
        <v>48</v>
      </c>
      <c r="E10" s="3">
        <f>SUM(B10:D10)</f>
        <v>133</v>
      </c>
    </row>
    <row r="11" spans="1:5" ht="20" x14ac:dyDescent="0.25">
      <c r="A11" s="2" t="s">
        <v>14</v>
      </c>
      <c r="B11" s="3"/>
      <c r="C11" s="3"/>
      <c r="D11" s="3"/>
      <c r="E11" s="3"/>
    </row>
    <row r="12" spans="1:5" ht="20" x14ac:dyDescent="0.25">
      <c r="A12" s="3" t="s">
        <v>15</v>
      </c>
      <c r="B12" s="5">
        <v>7.5</v>
      </c>
      <c r="C12" s="5">
        <v>7.5</v>
      </c>
      <c r="D12" s="5">
        <v>7.5</v>
      </c>
      <c r="E12" s="5">
        <f>SUM(B12:D12)</f>
        <v>22.5</v>
      </c>
    </row>
    <row r="13" spans="1:5" ht="20" x14ac:dyDescent="0.25">
      <c r="A13" s="3" t="s">
        <v>16</v>
      </c>
      <c r="B13" s="5">
        <v>12.5</v>
      </c>
      <c r="C13" s="5">
        <v>12.5</v>
      </c>
      <c r="D13" s="5">
        <v>12.5</v>
      </c>
      <c r="E13" s="5">
        <f>SUM(B13:D13)</f>
        <v>37.5</v>
      </c>
    </row>
    <row r="14" spans="1:5" ht="20" x14ac:dyDescent="0.25">
      <c r="A14" s="3" t="s">
        <v>17</v>
      </c>
      <c r="B14" s="3">
        <v>5</v>
      </c>
      <c r="C14" s="3">
        <v>5</v>
      </c>
      <c r="D14" s="3">
        <v>5</v>
      </c>
      <c r="E14" s="3">
        <f>SUM(B14:D14)</f>
        <v>15</v>
      </c>
    </row>
    <row r="15" spans="1:5" ht="20" x14ac:dyDescent="0.25">
      <c r="A15" s="3" t="s">
        <v>18</v>
      </c>
      <c r="B15" s="3">
        <v>5</v>
      </c>
      <c r="C15" s="3">
        <v>5</v>
      </c>
      <c r="D15" s="3">
        <v>5</v>
      </c>
      <c r="E15" s="3">
        <f>SUM(B15:D15)</f>
        <v>15</v>
      </c>
    </row>
    <row r="16" spans="1:5" ht="20" x14ac:dyDescent="0.25">
      <c r="A16" s="4" t="s">
        <v>19</v>
      </c>
      <c r="B16" s="5">
        <f>SUM(B12:B15)</f>
        <v>30</v>
      </c>
      <c r="C16" s="5">
        <f t="shared" ref="C16:D16" si="2">SUM(C12:C15)</f>
        <v>30</v>
      </c>
      <c r="D16" s="5">
        <f t="shared" si="2"/>
        <v>30</v>
      </c>
      <c r="E16" s="3">
        <f>SUM(B16:D16)</f>
        <v>90</v>
      </c>
    </row>
    <row r="17" spans="1:5" ht="20" x14ac:dyDescent="0.25">
      <c r="A17" s="2" t="s">
        <v>20</v>
      </c>
      <c r="B17" s="3"/>
      <c r="C17" s="3"/>
      <c r="D17" s="3"/>
      <c r="E17" s="3"/>
    </row>
    <row r="18" spans="1:5" ht="20" x14ac:dyDescent="0.25">
      <c r="A18" s="3" t="s">
        <v>21</v>
      </c>
      <c r="B18" s="3">
        <v>12</v>
      </c>
      <c r="C18" s="3">
        <v>13</v>
      </c>
      <c r="D18" s="3">
        <v>14</v>
      </c>
      <c r="E18" s="3">
        <f>SUM(B18:D18)</f>
        <v>39</v>
      </c>
    </row>
    <row r="19" spans="1:5" ht="20" x14ac:dyDescent="0.25">
      <c r="A19" s="3" t="s">
        <v>22</v>
      </c>
      <c r="B19" s="3">
        <v>8</v>
      </c>
      <c r="C19" s="3">
        <v>9</v>
      </c>
      <c r="D19" s="3">
        <v>10</v>
      </c>
      <c r="E19" s="3">
        <f t="shared" ref="E19:E20" si="3">SUM(B19:D19)</f>
        <v>27</v>
      </c>
    </row>
    <row r="20" spans="1:5" ht="20" x14ac:dyDescent="0.25">
      <c r="A20" s="4" t="s">
        <v>23</v>
      </c>
      <c r="B20" s="3">
        <f>SUM(B18:B19)</f>
        <v>20</v>
      </c>
      <c r="C20" s="3">
        <f t="shared" ref="C20:D20" si="4">SUM(C18:C19)</f>
        <v>22</v>
      </c>
      <c r="D20" s="3">
        <f t="shared" si="4"/>
        <v>24</v>
      </c>
      <c r="E20" s="3">
        <f t="shared" si="3"/>
        <v>66</v>
      </c>
    </row>
    <row r="21" spans="1:5" ht="20" x14ac:dyDescent="0.25">
      <c r="A21" s="2" t="s">
        <v>24</v>
      </c>
      <c r="B21" s="6">
        <f>B20+B16+B10+B5</f>
        <v>148</v>
      </c>
      <c r="C21" s="6">
        <f t="shared" ref="C21:D21" si="5">C20+C16+C10+C5</f>
        <v>157</v>
      </c>
      <c r="D21" s="6">
        <f t="shared" si="5"/>
        <v>168</v>
      </c>
      <c r="E21" s="6">
        <f>E20+E16+E10+E5</f>
        <v>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E06C4-CC20-1B42-975A-0B73504B503D}">
  <dimension ref="A1:E29"/>
  <sheetViews>
    <sheetView topLeftCell="A14" workbookViewId="0">
      <selection activeCell="E32" sqref="E32"/>
    </sheetView>
  </sheetViews>
  <sheetFormatPr baseColWidth="10" defaultRowHeight="16" x14ac:dyDescent="0.2"/>
  <cols>
    <col min="1" max="1" width="96.1640625" customWidth="1"/>
    <col min="5" max="5" width="24" customWidth="1"/>
  </cols>
  <sheetData>
    <row r="1" spans="1:5" ht="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" x14ac:dyDescent="0.25">
      <c r="A2" s="2" t="s">
        <v>25</v>
      </c>
      <c r="B2" s="3"/>
      <c r="C2" s="3"/>
      <c r="D2" s="3"/>
      <c r="E2" s="3"/>
    </row>
    <row r="3" spans="1:5" ht="20" x14ac:dyDescent="0.25">
      <c r="A3" s="3" t="s">
        <v>26</v>
      </c>
      <c r="B3" s="3">
        <v>35</v>
      </c>
      <c r="C3" s="3">
        <v>42</v>
      </c>
      <c r="D3" s="3">
        <v>50</v>
      </c>
      <c r="E3" s="3">
        <f>SUM(B3:D3)</f>
        <v>127</v>
      </c>
    </row>
    <row r="4" spans="1:5" ht="20" x14ac:dyDescent="0.25">
      <c r="A4" s="3" t="s">
        <v>27</v>
      </c>
      <c r="B4" s="3">
        <v>8</v>
      </c>
      <c r="C4" s="3">
        <v>9</v>
      </c>
      <c r="D4" s="3">
        <v>11</v>
      </c>
      <c r="E4" s="3">
        <f t="shared" ref="E4:E5" si="0">SUM(B4:D4)</f>
        <v>28</v>
      </c>
    </row>
    <row r="5" spans="1:5" ht="20" x14ac:dyDescent="0.25">
      <c r="A5" s="4" t="s">
        <v>8</v>
      </c>
      <c r="B5" s="3">
        <f>SUM(B3:B4)</f>
        <v>43</v>
      </c>
      <c r="C5" s="3">
        <f t="shared" ref="C5:D5" si="1">SUM(C3:C4)</f>
        <v>51</v>
      </c>
      <c r="D5" s="3">
        <f t="shared" si="1"/>
        <v>61</v>
      </c>
      <c r="E5" s="3">
        <f t="shared" si="0"/>
        <v>155</v>
      </c>
    </row>
    <row r="6" spans="1:5" ht="20" x14ac:dyDescent="0.25">
      <c r="A6" s="2" t="s">
        <v>28</v>
      </c>
      <c r="B6" s="3"/>
      <c r="C6" s="3"/>
      <c r="D6" s="3"/>
      <c r="E6" s="3"/>
    </row>
    <row r="7" spans="1:5" ht="20" x14ac:dyDescent="0.25">
      <c r="A7" s="3" t="s">
        <v>29</v>
      </c>
      <c r="B7" s="3">
        <v>6</v>
      </c>
      <c r="C7" s="3">
        <v>7</v>
      </c>
      <c r="D7" s="3">
        <v>8</v>
      </c>
      <c r="E7" s="3">
        <f>SUM(B7:D7)</f>
        <v>21</v>
      </c>
    </row>
    <row r="8" spans="1:5" ht="20" x14ac:dyDescent="0.25">
      <c r="A8" s="3" t="s">
        <v>30</v>
      </c>
      <c r="B8" s="3">
        <v>4</v>
      </c>
      <c r="C8" s="3">
        <v>5</v>
      </c>
      <c r="D8" s="3">
        <v>6</v>
      </c>
      <c r="E8" s="3">
        <f t="shared" ref="E8:E12" si="2">SUM(B8:D8)</f>
        <v>15</v>
      </c>
    </row>
    <row r="9" spans="1:5" ht="20" x14ac:dyDescent="0.25">
      <c r="A9" s="3" t="s">
        <v>31</v>
      </c>
      <c r="B9" s="3">
        <v>5</v>
      </c>
      <c r="C9" s="3">
        <v>6</v>
      </c>
      <c r="D9" s="3">
        <v>7</v>
      </c>
      <c r="E9" s="3">
        <f t="shared" si="2"/>
        <v>18</v>
      </c>
    </row>
    <row r="10" spans="1:5" ht="20" x14ac:dyDescent="0.25">
      <c r="A10" s="3" t="s">
        <v>32</v>
      </c>
      <c r="B10" s="3">
        <v>1</v>
      </c>
      <c r="C10" s="3">
        <v>1</v>
      </c>
      <c r="D10" s="3">
        <v>1</v>
      </c>
      <c r="E10" s="3">
        <f t="shared" si="2"/>
        <v>3</v>
      </c>
    </row>
    <row r="11" spans="1:5" ht="20" x14ac:dyDescent="0.25">
      <c r="A11" s="3" t="s">
        <v>11</v>
      </c>
      <c r="B11" s="3">
        <v>9</v>
      </c>
      <c r="C11" s="3">
        <v>10</v>
      </c>
      <c r="D11" s="3">
        <v>11</v>
      </c>
      <c r="E11" s="3">
        <f t="shared" si="2"/>
        <v>30</v>
      </c>
    </row>
    <row r="12" spans="1:5" ht="20" x14ac:dyDescent="0.25">
      <c r="A12" s="4" t="s">
        <v>13</v>
      </c>
      <c r="B12" s="3">
        <f>SUM(B7:B11)</f>
        <v>25</v>
      </c>
      <c r="C12" s="3">
        <f t="shared" ref="C12:D12" si="3">SUM(C7:C11)</f>
        <v>29</v>
      </c>
      <c r="D12" s="3">
        <f t="shared" si="3"/>
        <v>33</v>
      </c>
      <c r="E12" s="3">
        <f t="shared" si="2"/>
        <v>87</v>
      </c>
    </row>
    <row r="13" spans="1:5" ht="20" x14ac:dyDescent="0.25">
      <c r="A13" s="2" t="s">
        <v>33</v>
      </c>
      <c r="B13" s="3"/>
      <c r="C13" s="3"/>
      <c r="D13" s="3"/>
      <c r="E13" s="3"/>
    </row>
    <row r="14" spans="1:5" ht="20" x14ac:dyDescent="0.25">
      <c r="A14" s="3" t="s">
        <v>34</v>
      </c>
      <c r="B14" s="3">
        <v>10</v>
      </c>
      <c r="C14" s="3">
        <v>10</v>
      </c>
      <c r="D14" s="3">
        <v>10</v>
      </c>
      <c r="E14" s="3">
        <f>SUM(B14:D14)</f>
        <v>30</v>
      </c>
    </row>
    <row r="15" spans="1:5" ht="20" x14ac:dyDescent="0.25">
      <c r="A15" s="3" t="s">
        <v>35</v>
      </c>
      <c r="B15" s="3">
        <v>5</v>
      </c>
      <c r="C15" s="3">
        <v>5</v>
      </c>
      <c r="D15" s="3">
        <v>5</v>
      </c>
      <c r="E15" s="3">
        <f t="shared" ref="E15:E18" si="4">SUM(B15:D15)</f>
        <v>15</v>
      </c>
    </row>
    <row r="16" spans="1:5" ht="20" x14ac:dyDescent="0.25">
      <c r="A16" s="3" t="s">
        <v>36</v>
      </c>
      <c r="B16" s="3">
        <v>5</v>
      </c>
      <c r="C16" s="3">
        <v>5</v>
      </c>
      <c r="D16" s="3">
        <v>5</v>
      </c>
      <c r="E16" s="3">
        <f t="shared" si="4"/>
        <v>15</v>
      </c>
    </row>
    <row r="17" spans="1:5" ht="20" x14ac:dyDescent="0.25">
      <c r="A17" s="3" t="s">
        <v>37</v>
      </c>
      <c r="B17" s="3">
        <v>5</v>
      </c>
      <c r="C17" s="3">
        <v>5</v>
      </c>
      <c r="D17" s="3">
        <v>5</v>
      </c>
      <c r="E17" s="3">
        <f t="shared" si="4"/>
        <v>15</v>
      </c>
    </row>
    <row r="18" spans="1:5" ht="20" x14ac:dyDescent="0.25">
      <c r="A18" s="4" t="s">
        <v>19</v>
      </c>
      <c r="B18" s="3">
        <f>SUM(B14:B17)</f>
        <v>25</v>
      </c>
      <c r="C18" s="3">
        <f t="shared" ref="C18:D18" si="5">SUM(C14:C17)</f>
        <v>25</v>
      </c>
      <c r="D18" s="3">
        <f t="shared" si="5"/>
        <v>25</v>
      </c>
      <c r="E18" s="3">
        <f t="shared" si="4"/>
        <v>75</v>
      </c>
    </row>
    <row r="19" spans="1:5" ht="20" x14ac:dyDescent="0.25">
      <c r="A19" s="2" t="s">
        <v>38</v>
      </c>
      <c r="B19" s="3"/>
      <c r="C19" s="3"/>
      <c r="D19" s="3"/>
      <c r="E19" s="3"/>
    </row>
    <row r="20" spans="1:5" ht="20" x14ac:dyDescent="0.25">
      <c r="A20" s="3" t="s">
        <v>39</v>
      </c>
      <c r="B20" s="5">
        <v>1.5</v>
      </c>
      <c r="C20" s="5">
        <v>1.5</v>
      </c>
      <c r="D20" s="5">
        <v>1.5</v>
      </c>
      <c r="E20" s="5">
        <f>SUM(B20:D20)</f>
        <v>4.5</v>
      </c>
    </row>
    <row r="21" spans="1:5" ht="20" x14ac:dyDescent="0.25">
      <c r="A21" s="3" t="s">
        <v>40</v>
      </c>
      <c r="B21" s="5">
        <v>2</v>
      </c>
      <c r="C21" s="5">
        <v>2</v>
      </c>
      <c r="D21" s="5">
        <v>2</v>
      </c>
      <c r="E21" s="5">
        <f t="shared" ref="E21:E22" si="6">SUM(B21:D21)</f>
        <v>6</v>
      </c>
    </row>
    <row r="22" spans="1:5" ht="20" x14ac:dyDescent="0.25">
      <c r="A22" s="4" t="s">
        <v>23</v>
      </c>
      <c r="B22" s="5">
        <f>SUM(B20:B21)</f>
        <v>3.5</v>
      </c>
      <c r="C22" s="5">
        <f t="shared" ref="C22:D22" si="7">SUM(C20:C21)</f>
        <v>3.5</v>
      </c>
      <c r="D22" s="5">
        <f t="shared" si="7"/>
        <v>3.5</v>
      </c>
      <c r="E22" s="5">
        <f t="shared" si="6"/>
        <v>10.5</v>
      </c>
    </row>
    <row r="23" spans="1:5" ht="20" x14ac:dyDescent="0.25">
      <c r="A23" s="2" t="s">
        <v>41</v>
      </c>
      <c r="B23" s="3"/>
      <c r="C23" s="3"/>
      <c r="D23" s="3"/>
      <c r="E23" s="3"/>
    </row>
    <row r="24" spans="1:5" ht="20" x14ac:dyDescent="0.25">
      <c r="A24" s="3" t="s">
        <v>42</v>
      </c>
      <c r="B24" s="3">
        <v>8</v>
      </c>
      <c r="C24" s="3">
        <v>4</v>
      </c>
      <c r="D24" s="3">
        <v>0</v>
      </c>
      <c r="E24" s="3">
        <f>SUM(B24:D24)</f>
        <v>12</v>
      </c>
    </row>
    <row r="25" spans="1:5" ht="20" x14ac:dyDescent="0.25">
      <c r="A25" s="3" t="s">
        <v>43</v>
      </c>
      <c r="B25" s="3">
        <v>3</v>
      </c>
      <c r="C25" s="3">
        <v>2</v>
      </c>
      <c r="D25" s="3">
        <v>0</v>
      </c>
      <c r="E25" s="3">
        <f t="shared" ref="E25:E28" si="8">SUM(B25:D25)</f>
        <v>5</v>
      </c>
    </row>
    <row r="26" spans="1:5" ht="20" x14ac:dyDescent="0.25">
      <c r="A26" s="3" t="s">
        <v>44</v>
      </c>
      <c r="B26" s="3">
        <v>10</v>
      </c>
      <c r="C26" s="3">
        <v>5</v>
      </c>
      <c r="D26" s="3">
        <v>0</v>
      </c>
      <c r="E26" s="3">
        <f t="shared" si="8"/>
        <v>15</v>
      </c>
    </row>
    <row r="27" spans="1:5" ht="20" x14ac:dyDescent="0.25">
      <c r="A27" s="3" t="s">
        <v>45</v>
      </c>
      <c r="B27" s="3">
        <v>5</v>
      </c>
      <c r="C27" s="3">
        <v>0</v>
      </c>
      <c r="D27" s="3">
        <v>0</v>
      </c>
      <c r="E27" s="3">
        <f t="shared" si="8"/>
        <v>5</v>
      </c>
    </row>
    <row r="28" spans="1:5" ht="20" x14ac:dyDescent="0.25">
      <c r="A28" s="4" t="s">
        <v>46</v>
      </c>
      <c r="B28" s="3">
        <f>SUM(B24:B27)</f>
        <v>26</v>
      </c>
      <c r="C28" s="3">
        <f t="shared" ref="C28:D28" si="9">SUM(C24:C27)</f>
        <v>11</v>
      </c>
      <c r="D28" s="3">
        <f t="shared" si="9"/>
        <v>0</v>
      </c>
      <c r="E28" s="3">
        <f t="shared" si="8"/>
        <v>37</v>
      </c>
    </row>
    <row r="29" spans="1:5" ht="20" x14ac:dyDescent="0.25">
      <c r="A29" s="2" t="s">
        <v>47</v>
      </c>
      <c r="B29" s="6">
        <f>B28+B22+B18+B12+B5</f>
        <v>122.5</v>
      </c>
      <c r="C29" s="6">
        <f t="shared" ref="C29:E29" si="10">C28+C22+C18+C12+C5</f>
        <v>119.5</v>
      </c>
      <c r="D29" s="6">
        <f t="shared" si="10"/>
        <v>122.5</v>
      </c>
      <c r="E29" s="6">
        <f t="shared" si="10"/>
        <v>364.5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4C796-ED7A-D24D-AF45-B1D32577FB35}">
  <dimension ref="A1:E5"/>
  <sheetViews>
    <sheetView tabSelected="1" workbookViewId="0">
      <selection activeCell="D12" sqref="D12"/>
    </sheetView>
  </sheetViews>
  <sheetFormatPr baseColWidth="10" defaultRowHeight="16" x14ac:dyDescent="0.2"/>
  <cols>
    <col min="1" max="1" width="47.6640625" customWidth="1"/>
    <col min="2" max="2" width="26.6640625" customWidth="1"/>
    <col min="3" max="3" width="26.83203125" customWidth="1"/>
    <col min="4" max="4" width="29.5" customWidth="1"/>
  </cols>
  <sheetData>
    <row r="1" spans="1:5" ht="20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</row>
    <row r="2" spans="1:5" ht="20" x14ac:dyDescent="0.25">
      <c r="A2" s="3" t="s">
        <v>1</v>
      </c>
      <c r="B2" s="5">
        <f>'AS IS'!B21</f>
        <v>148</v>
      </c>
      <c r="C2" s="5">
        <f>TOBE!B29</f>
        <v>122.5</v>
      </c>
      <c r="D2" s="5">
        <f>B2-C2</f>
        <v>25.5</v>
      </c>
      <c r="E2" s="7">
        <f>D2/B2</f>
        <v>0.17229729729729729</v>
      </c>
    </row>
    <row r="3" spans="1:5" ht="20" x14ac:dyDescent="0.25">
      <c r="A3" s="3" t="s">
        <v>2</v>
      </c>
      <c r="B3" s="5">
        <f>'AS IS'!C21</f>
        <v>157</v>
      </c>
      <c r="C3" s="5">
        <f>TOBE!C29</f>
        <v>119.5</v>
      </c>
      <c r="D3" s="5">
        <f t="shared" ref="D3:D5" si="0">B3-C3</f>
        <v>37.5</v>
      </c>
      <c r="E3" s="7">
        <f t="shared" ref="E3:E5" si="1">D3/B3</f>
        <v>0.23885350318471338</v>
      </c>
    </row>
    <row r="4" spans="1:5" ht="20" x14ac:dyDescent="0.25">
      <c r="A4" s="3" t="s">
        <v>3</v>
      </c>
      <c r="B4" s="5">
        <f>'AS IS'!D21</f>
        <v>168</v>
      </c>
      <c r="C4" s="5">
        <f>TOBE!D29</f>
        <v>122.5</v>
      </c>
      <c r="D4" s="5">
        <f t="shared" si="0"/>
        <v>45.5</v>
      </c>
      <c r="E4" s="7">
        <f t="shared" si="1"/>
        <v>0.27083333333333331</v>
      </c>
    </row>
    <row r="5" spans="1:5" ht="20" x14ac:dyDescent="0.25">
      <c r="A5" s="2" t="s">
        <v>53</v>
      </c>
      <c r="B5" s="6">
        <f>'AS IS'!E21</f>
        <v>473</v>
      </c>
      <c r="C5" s="6">
        <f>TOBE!E29</f>
        <v>364.5</v>
      </c>
      <c r="D5" s="5">
        <f t="shared" si="0"/>
        <v>108.5</v>
      </c>
      <c r="E5" s="7">
        <f t="shared" si="1"/>
        <v>0.22938689217758984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AS IS</vt:lpstr>
      <vt:lpstr>TOBE</vt:lpstr>
      <vt:lpstr>Сравненеи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2026-03-08T11:32:35Z</dcterms:created>
  <dcterms:modified xsi:type="dcterms:W3CDTF">2026-03-08T11:43:51Z</dcterms:modified>
</cp:coreProperties>
</file>